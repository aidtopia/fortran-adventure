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_projects\fortran-adventure\tools\"/>
    </mc:Choice>
  </mc:AlternateContent>
  <xr:revisionPtr revIDLastSave="0" documentId="13_ncr:1_{C0C5DED1-D664-41B2-B36C-5E2C787CC3C7}" xr6:coauthVersionLast="47" xr6:coauthVersionMax="47" xr10:uidLastSave="{00000000-0000-0000-0000-000000000000}"/>
  <bookViews>
    <workbookView xWindow="34" yWindow="1277" windowWidth="16423" windowHeight="15712" xr2:uid="{EA4EB66F-FA79-46BF-BDB7-6DBFA30FB5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0" i="1" l="1"/>
  <c r="C40" i="1" s="1"/>
  <c r="B39" i="1"/>
  <c r="C39" i="1" s="1"/>
  <c r="B38" i="1"/>
  <c r="C38" i="1" s="1"/>
  <c r="D38" i="1" s="1"/>
  <c r="B37" i="1"/>
  <c r="C37" i="1" s="1"/>
  <c r="E36" i="1"/>
  <c r="E37" i="1" s="1"/>
  <c r="E38" i="1" s="1"/>
  <c r="E39" i="1" s="1"/>
  <c r="E40" i="1" s="1"/>
  <c r="B36" i="1"/>
  <c r="C36" i="1" s="1"/>
  <c r="F34" i="1"/>
  <c r="F36" i="1" s="1"/>
  <c r="F37" i="1" s="1"/>
  <c r="F38" i="1" s="1"/>
  <c r="F39" i="1" s="1"/>
  <c r="F40" i="1" s="1"/>
  <c r="B30" i="1"/>
  <c r="C30" i="1" s="1"/>
  <c r="D30" i="1" s="1"/>
  <c r="B29" i="1"/>
  <c r="C29" i="1" s="1"/>
  <c r="D29" i="1" s="1"/>
  <c r="B28" i="1"/>
  <c r="C28" i="1" s="1"/>
  <c r="B27" i="1"/>
  <c r="C27" i="1" s="1"/>
  <c r="E26" i="1"/>
  <c r="E27" i="1" s="1"/>
  <c r="E28" i="1" s="1"/>
  <c r="E29" i="1" s="1"/>
  <c r="E30" i="1" s="1"/>
  <c r="C26" i="1"/>
  <c r="D26" i="1" s="1"/>
  <c r="B26" i="1"/>
  <c r="F24" i="1"/>
  <c r="F26" i="1" s="1"/>
  <c r="F27" i="1" s="1"/>
  <c r="F28" i="1" s="1"/>
  <c r="F29" i="1" s="1"/>
  <c r="F30" i="1" s="1"/>
  <c r="D36" i="1" l="1"/>
  <c r="G38" i="1"/>
  <c r="H38" i="1" s="1"/>
  <c r="G36" i="1"/>
  <c r="H36" i="1" s="1"/>
  <c r="D37" i="1"/>
  <c r="G37" i="1" s="1"/>
  <c r="H37" i="1" s="1"/>
  <c r="H34" i="1" s="1"/>
  <c r="D39" i="1"/>
  <c r="G39" i="1" s="1"/>
  <c r="H39" i="1" s="1"/>
  <c r="D40" i="1"/>
  <c r="G40" i="1" s="1"/>
  <c r="H40" i="1" s="1"/>
  <c r="D27" i="1"/>
  <c r="D28" i="1"/>
  <c r="G26" i="1"/>
  <c r="H26" i="1" s="1"/>
  <c r="G27" i="1"/>
  <c r="H27" i="1" s="1"/>
  <c r="G28" i="1"/>
  <c r="H28" i="1" s="1"/>
  <c r="G29" i="1"/>
  <c r="H29" i="1" s="1"/>
  <c r="G30" i="1"/>
  <c r="H30" i="1" s="1"/>
  <c r="H24" i="1" l="1"/>
  <c r="E16" i="1"/>
  <c r="E17" i="1" s="1"/>
  <c r="E18" i="1" s="1"/>
  <c r="E19" i="1" s="1"/>
  <c r="E20" i="1" s="1"/>
  <c r="B20" i="1"/>
  <c r="B19" i="1"/>
  <c r="B18" i="1"/>
  <c r="B17" i="1"/>
  <c r="B16" i="1"/>
  <c r="C16" i="1" s="1"/>
  <c r="A14" i="1"/>
  <c r="F14" i="1" s="1"/>
  <c r="F16" i="1" s="1"/>
  <c r="F17" i="1" s="1"/>
  <c r="F18" i="1" s="1"/>
  <c r="F19" i="1" s="1"/>
  <c r="F20" i="1" s="1"/>
  <c r="C20" i="1" l="1"/>
  <c r="C19" i="1"/>
  <c r="C17" i="1"/>
  <c r="C18" i="1"/>
  <c r="D19" i="1" l="1"/>
  <c r="G19" i="1" s="1"/>
  <c r="H19" i="1" s="1"/>
  <c r="D18" i="1"/>
  <c r="G18" i="1" s="1"/>
  <c r="H18" i="1" s="1"/>
  <c r="D17" i="1"/>
  <c r="G17" i="1" s="1"/>
  <c r="H17" i="1" s="1"/>
  <c r="D20" i="1"/>
  <c r="G20" i="1" s="1"/>
  <c r="H20" i="1" s="1"/>
  <c r="D16" i="1"/>
  <c r="G16" i="1" s="1"/>
  <c r="H16" i="1" s="1"/>
  <c r="H14" i="1" l="1"/>
</calcChain>
</file>

<file path=xl/sharedStrings.xml><?xml version="1.0" encoding="utf-8"?>
<sst xmlns="http://schemas.openxmlformats.org/spreadsheetml/2006/main" count="58" uniqueCount="28">
  <si>
    <t>Y</t>
  </si>
  <si>
    <t>VAL(Y)</t>
  </si>
  <si>
    <t>T</t>
  </si>
  <si>
    <t>X</t>
  </si>
  <si>
    <t>Challenge</t>
  </si>
  <si>
    <t>Response</t>
  </si>
  <si>
    <t>Adventure Wizard Proof</t>
  </si>
  <si>
    <t>D</t>
  </si>
  <si>
    <t>Time</t>
  </si>
  <si>
    <t>Minutes</t>
  </si>
  <si>
    <t>Very first turn</t>
  </si>
  <si>
    <t>MAGIC MODE</t>
  </si>
  <si>
    <t>Wizard?</t>
  </si>
  <si>
    <t>YES</t>
  </si>
  <si>
    <t>Magic Word:</t>
  </si>
  <si>
    <t>DWARF</t>
  </si>
  <si>
    <t>Do you know?</t>
  </si>
  <si>
    <t>NO</t>
  </si>
  <si>
    <t>Copy the challenge word into column B below.</t>
  </si>
  <si>
    <t>The correct response changes every 10 minutes.</t>
  </si>
  <si>
    <t>letter</t>
  </si>
  <si>
    <t>MAGNUM</t>
  </si>
  <si>
    <t>|delta|</t>
  </si>
  <si>
    <t>Respond with the response in column H below.</t>
  </si>
  <si>
    <t>FSMDA</t>
  </si>
  <si>
    <t>Run Adventure with -d1-JAN-77 -t0:00 to lock the date and time and simplify the calculation.</t>
  </si>
  <si>
    <t>Run Adventure with -d1-JAN-77 -t0:31 to lock the date and time and simplify the calculation.</t>
  </si>
  <si>
    <t>WODSE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</si>
</sst>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" fontId="0" fillId="0" borderId="0" xfId="0" applyNumberFormat="1"/>
    <xf numFmtId="0" fontId="1" fillId="0" borderId="0" xfId="0" applyFont="1" applyAlignment="1">
      <alignment horizontal="center"/>
    </xf>
    <xf numFmtId="22" fontId="1" fillId="0" borderId="0" xfId="0" applyNumberFormat="1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230EC-4216-4B92-A2D9-410B51CF2B56}">
  <dimension ref="A1:H40"/>
  <sheetViews>
    <sheetView tabSelected="1" workbookViewId="0">
      <selection activeCell="C34" sqref="C34"/>
    </sheetView>
  </sheetViews>
  <sheetFormatPr defaultRowHeight="14.6" x14ac:dyDescent="0.4"/>
  <cols>
    <col min="1" max="1" width="14.4609375" bestFit="1" customWidth="1"/>
    <col min="2" max="2" width="14.61328125" bestFit="1" customWidth="1"/>
    <col min="3" max="3" width="7.84375" customWidth="1"/>
    <col min="5" max="5" width="10" customWidth="1"/>
    <col min="6" max="6" width="9.53515625" customWidth="1"/>
    <col min="7" max="7" width="6.69140625" customWidth="1"/>
    <col min="8" max="8" width="12.84375" style="1" customWidth="1"/>
  </cols>
  <sheetData>
    <row r="1" spans="1:8" x14ac:dyDescent="0.4">
      <c r="A1" t="s">
        <v>6</v>
      </c>
    </row>
    <row r="3" spans="1:8" x14ac:dyDescent="0.4">
      <c r="A3" t="s">
        <v>10</v>
      </c>
      <c r="B3" t="s">
        <v>11</v>
      </c>
    </row>
    <row r="4" spans="1:8" x14ac:dyDescent="0.4">
      <c r="A4" t="s">
        <v>12</v>
      </c>
      <c r="B4" t="s">
        <v>13</v>
      </c>
    </row>
    <row r="5" spans="1:8" x14ac:dyDescent="0.4">
      <c r="A5" t="s">
        <v>14</v>
      </c>
      <c r="B5" t="s">
        <v>15</v>
      </c>
    </row>
    <row r="6" spans="1:8" x14ac:dyDescent="0.4">
      <c r="A6" t="s">
        <v>16</v>
      </c>
      <c r="B6" t="s">
        <v>17</v>
      </c>
    </row>
    <row r="7" spans="1:8" x14ac:dyDescent="0.4">
      <c r="A7" t="s">
        <v>4</v>
      </c>
      <c r="B7" t="s">
        <v>5</v>
      </c>
    </row>
    <row r="9" spans="1:8" x14ac:dyDescent="0.4">
      <c r="A9" t="s">
        <v>18</v>
      </c>
    </row>
    <row r="10" spans="1:8" x14ac:dyDescent="0.4">
      <c r="A10" t="s">
        <v>23</v>
      </c>
    </row>
    <row r="11" spans="1:8" x14ac:dyDescent="0.4">
      <c r="A11" t="s">
        <v>19</v>
      </c>
    </row>
    <row r="13" spans="1:8" x14ac:dyDescent="0.4">
      <c r="A13" s="6" t="s">
        <v>8</v>
      </c>
      <c r="B13" s="4" t="s">
        <v>4</v>
      </c>
      <c r="E13" s="2" t="s">
        <v>21</v>
      </c>
      <c r="F13" s="2" t="s">
        <v>9</v>
      </c>
      <c r="H13" s="4" t="s">
        <v>5</v>
      </c>
    </row>
    <row r="14" spans="1:8" x14ac:dyDescent="0.4">
      <c r="A14" s="5">
        <f ca="1">NOW()</f>
        <v>46040.462223495371</v>
      </c>
      <c r="B14" s="4" t="s">
        <v>24</v>
      </c>
      <c r="E14">
        <v>11111</v>
      </c>
      <c r="F14" s="3">
        <f ca="1">60*HOUR(A14)+MINUTE(A14)</f>
        <v>665</v>
      </c>
      <c r="H14" s="4" t="str">
        <f ca="1">_xlfn.CONCAT(H16:H20)</f>
        <v>NGKEF</v>
      </c>
    </row>
    <row r="15" spans="1:8" x14ac:dyDescent="0.4">
      <c r="A15" s="2" t="s">
        <v>0</v>
      </c>
      <c r="B15" s="1" t="s">
        <v>20</v>
      </c>
      <c r="C15" s="2" t="s">
        <v>1</v>
      </c>
      <c r="D15" s="2" t="s">
        <v>22</v>
      </c>
      <c r="E15" s="2" t="s">
        <v>7</v>
      </c>
      <c r="F15" s="2" t="s">
        <v>2</v>
      </c>
      <c r="G15" s="2" t="s">
        <v>3</v>
      </c>
      <c r="H15" s="1" t="s">
        <v>20</v>
      </c>
    </row>
    <row r="16" spans="1:8" x14ac:dyDescent="0.4">
      <c r="A16">
        <v>1</v>
      </c>
      <c r="B16" s="1" t="str">
        <f>UPPER(MID(B14, A16, 1))</f>
        <v>F</v>
      </c>
      <c r="C16">
        <f t="shared" ref="C16:C20" si="0">CODE(UPPER(B16)) - CODE("A") + 1</f>
        <v>6</v>
      </c>
      <c r="D16">
        <f>ABS(C16-C17)</f>
        <v>13</v>
      </c>
      <c r="E16">
        <f>E14</f>
        <v>11111</v>
      </c>
      <c r="F16">
        <f ca="1">40*FLOOR(F14/60, 1)+10*FLOOR(F14/10,1)</f>
        <v>1100</v>
      </c>
      <c r="G16">
        <f ca="1">MOD(D16*MOD(E16, 10)+MOD(F16, 10), 26)+1</f>
        <v>14</v>
      </c>
      <c r="H16" s="4" t="str">
        <f ca="1">CHAR(64+G16)</f>
        <v>N</v>
      </c>
    </row>
    <row r="17" spans="1:8" x14ac:dyDescent="0.4">
      <c r="A17">
        <v>2</v>
      </c>
      <c r="B17" s="1" t="str">
        <f>UPPER(MID(B14, A17, 1))</f>
        <v>S</v>
      </c>
      <c r="C17">
        <f t="shared" si="0"/>
        <v>19</v>
      </c>
      <c r="D17">
        <f>ABS(C17-C18)</f>
        <v>6</v>
      </c>
      <c r="E17">
        <f>FLOOR(E16/10, 1)</f>
        <v>1111</v>
      </c>
      <c r="F17">
        <f ca="1">FLOOR(F16/10, 1)</f>
        <v>110</v>
      </c>
      <c r="G17">
        <f ca="1">MOD(D17*MOD(E17, 10)+MOD(F17, 10), 26)+1</f>
        <v>7</v>
      </c>
      <c r="H17" s="4" t="str">
        <f t="shared" ref="H17:H20" ca="1" si="1">CHAR(64+G17)</f>
        <v>G</v>
      </c>
    </row>
    <row r="18" spans="1:8" x14ac:dyDescent="0.4">
      <c r="A18">
        <v>3</v>
      </c>
      <c r="B18" s="1" t="str">
        <f>UPPER(MID(B14, A18, 1))</f>
        <v>M</v>
      </c>
      <c r="C18">
        <f t="shared" si="0"/>
        <v>13</v>
      </c>
      <c r="D18">
        <f>ABS(C18-C19)</f>
        <v>9</v>
      </c>
      <c r="E18">
        <f>FLOOR(E17/10, 1)</f>
        <v>111</v>
      </c>
      <c r="F18">
        <f t="shared" ref="F18:F20" ca="1" si="2">FLOOR(F17/10, 1)</f>
        <v>11</v>
      </c>
      <c r="G18">
        <f ca="1">MOD(D18*MOD(E18, 10)+MOD(F18, 10), 26)+1</f>
        <v>11</v>
      </c>
      <c r="H18" s="4" t="str">
        <f t="shared" ca="1" si="1"/>
        <v>K</v>
      </c>
    </row>
    <row r="19" spans="1:8" x14ac:dyDescent="0.4">
      <c r="A19">
        <v>4</v>
      </c>
      <c r="B19" s="1" t="str">
        <f>UPPER(MID(B14, A19, 1))</f>
        <v>D</v>
      </c>
      <c r="C19">
        <f t="shared" si="0"/>
        <v>4</v>
      </c>
      <c r="D19">
        <f>ABS(C19-C20)</f>
        <v>3</v>
      </c>
      <c r="E19">
        <f>FLOOR(E18/10, 1)</f>
        <v>11</v>
      </c>
      <c r="F19">
        <f t="shared" ca="1" si="2"/>
        <v>1</v>
      </c>
      <c r="G19">
        <f ca="1">MOD(D19*MOD(E19, 10)+MOD(F19, 10), 26)+1</f>
        <v>5</v>
      </c>
      <c r="H19" s="4" t="str">
        <f t="shared" ca="1" si="1"/>
        <v>E</v>
      </c>
    </row>
    <row r="20" spans="1:8" x14ac:dyDescent="0.4">
      <c r="A20">
        <v>5</v>
      </c>
      <c r="B20" s="1" t="str">
        <f>UPPER(MID(B14, A20, 1))</f>
        <v>A</v>
      </c>
      <c r="C20">
        <f t="shared" si="0"/>
        <v>1</v>
      </c>
      <c r="D20">
        <f>ABS(C20-C16)</f>
        <v>5</v>
      </c>
      <c r="E20">
        <f>FLOOR(E19/10, 1)</f>
        <v>1</v>
      </c>
      <c r="F20">
        <f t="shared" ca="1" si="2"/>
        <v>0</v>
      </c>
      <c r="G20">
        <f ca="1">MOD(D20*MOD(E20, 10)+MOD(F20, 10), 26)+1</f>
        <v>6</v>
      </c>
      <c r="H20" s="4" t="str">
        <f t="shared" ca="1" si="1"/>
        <v>F</v>
      </c>
    </row>
    <row r="22" spans="1:8" x14ac:dyDescent="0.4">
      <c r="A22" t="s">
        <v>25</v>
      </c>
    </row>
    <row r="23" spans="1:8" x14ac:dyDescent="0.4">
      <c r="A23" s="6" t="s">
        <v>8</v>
      </c>
      <c r="B23" s="4" t="s">
        <v>4</v>
      </c>
      <c r="E23" s="2" t="s">
        <v>21</v>
      </c>
      <c r="F23" s="2" t="s">
        <v>9</v>
      </c>
      <c r="H23" s="4" t="s">
        <v>5</v>
      </c>
    </row>
    <row r="24" spans="1:8" x14ac:dyDescent="0.4">
      <c r="A24" s="5">
        <v>28126</v>
      </c>
      <c r="B24" s="4" t="s">
        <v>24</v>
      </c>
      <c r="E24">
        <v>11111</v>
      </c>
      <c r="F24" s="3">
        <f>60*HOUR(A24)+MINUTE(A24)</f>
        <v>0</v>
      </c>
      <c r="H24" s="4" t="str">
        <f>_xlfn.CONCAT(H26:H30)</f>
        <v>NGJDF</v>
      </c>
    </row>
    <row r="25" spans="1:8" x14ac:dyDescent="0.4">
      <c r="A25" s="2" t="s">
        <v>0</v>
      </c>
      <c r="B25" s="1" t="s">
        <v>20</v>
      </c>
      <c r="C25" s="2" t="s">
        <v>1</v>
      </c>
      <c r="D25" s="2" t="s">
        <v>22</v>
      </c>
      <c r="E25" s="2" t="s">
        <v>7</v>
      </c>
      <c r="F25" s="2" t="s">
        <v>2</v>
      </c>
      <c r="G25" s="2" t="s">
        <v>3</v>
      </c>
      <c r="H25" s="1" t="s">
        <v>20</v>
      </c>
    </row>
    <row r="26" spans="1:8" x14ac:dyDescent="0.4">
      <c r="A26">
        <v>1</v>
      </c>
      <c r="B26" s="1" t="str">
        <f>UPPER(MID(B24, A26, 1))</f>
        <v>F</v>
      </c>
      <c r="C26">
        <f t="shared" ref="C26:C30" si="3">CODE(UPPER(B26)) - CODE("A") + 1</f>
        <v>6</v>
      </c>
      <c r="D26">
        <f>ABS(C26-C27)</f>
        <v>13</v>
      </c>
      <c r="E26">
        <f>E24</f>
        <v>11111</v>
      </c>
      <c r="F26">
        <f>40*FLOOR(F24/60, 1)+10*FLOOR(F24/10,1)</f>
        <v>0</v>
      </c>
      <c r="G26">
        <f>MOD(D26*MOD(E26, 10)+MOD(F26, 10), 26)+1</f>
        <v>14</v>
      </c>
      <c r="H26" s="4" t="str">
        <f>CHAR(64+G26)</f>
        <v>N</v>
      </c>
    </row>
    <row r="27" spans="1:8" x14ac:dyDescent="0.4">
      <c r="A27">
        <v>2</v>
      </c>
      <c r="B27" s="1" t="str">
        <f>UPPER(MID(B24, A27, 1))</f>
        <v>S</v>
      </c>
      <c r="C27">
        <f t="shared" si="3"/>
        <v>19</v>
      </c>
      <c r="D27">
        <f>ABS(C27-C28)</f>
        <v>6</v>
      </c>
      <c r="E27">
        <f>FLOOR(E26/10, 1)</f>
        <v>1111</v>
      </c>
      <c r="F27">
        <f>FLOOR(F26/10, 1)</f>
        <v>0</v>
      </c>
      <c r="G27">
        <f>MOD(D27*MOD(E27, 10)+MOD(F27, 10), 26)+1</f>
        <v>7</v>
      </c>
      <c r="H27" s="4" t="str">
        <f t="shared" ref="H27:H30" si="4">CHAR(64+G27)</f>
        <v>G</v>
      </c>
    </row>
    <row r="28" spans="1:8" x14ac:dyDescent="0.4">
      <c r="A28">
        <v>3</v>
      </c>
      <c r="B28" s="1" t="str">
        <f>UPPER(MID(B24, A28, 1))</f>
        <v>M</v>
      </c>
      <c r="C28">
        <f t="shared" si="3"/>
        <v>13</v>
      </c>
      <c r="D28">
        <f>ABS(C28-C29)</f>
        <v>9</v>
      </c>
      <c r="E28">
        <f>FLOOR(E27/10, 1)</f>
        <v>111</v>
      </c>
      <c r="F28">
        <f t="shared" ref="F28:F30" si="5">FLOOR(F27/10, 1)</f>
        <v>0</v>
      </c>
      <c r="G28">
        <f>MOD(D28*MOD(E28, 10)+MOD(F28, 10), 26)+1</f>
        <v>10</v>
      </c>
      <c r="H28" s="4" t="str">
        <f t="shared" si="4"/>
        <v>J</v>
      </c>
    </row>
    <row r="29" spans="1:8" x14ac:dyDescent="0.4">
      <c r="A29">
        <v>4</v>
      </c>
      <c r="B29" s="1" t="str">
        <f>UPPER(MID(B24, A29, 1))</f>
        <v>D</v>
      </c>
      <c r="C29">
        <f t="shared" si="3"/>
        <v>4</v>
      </c>
      <c r="D29">
        <f>ABS(C29-C30)</f>
        <v>3</v>
      </c>
      <c r="E29">
        <f>FLOOR(E28/10, 1)</f>
        <v>11</v>
      </c>
      <c r="F29">
        <f t="shared" si="5"/>
        <v>0</v>
      </c>
      <c r="G29">
        <f>MOD(D29*MOD(E29, 10)+MOD(F29, 10), 26)+1</f>
        <v>4</v>
      </c>
      <c r="H29" s="4" t="str">
        <f t="shared" si="4"/>
        <v>D</v>
      </c>
    </row>
    <row r="30" spans="1:8" x14ac:dyDescent="0.4">
      <c r="A30">
        <v>5</v>
      </c>
      <c r="B30" s="1" t="str">
        <f>UPPER(MID(B24, A30, 1))</f>
        <v>A</v>
      </c>
      <c r="C30">
        <f t="shared" si="3"/>
        <v>1</v>
      </c>
      <c r="D30">
        <f>ABS(C30-C26)</f>
        <v>5</v>
      </c>
      <c r="E30">
        <f>FLOOR(E29/10, 1)</f>
        <v>1</v>
      </c>
      <c r="F30">
        <f t="shared" si="5"/>
        <v>0</v>
      </c>
      <c r="G30">
        <f>MOD(D30*MOD(E30, 10)+MOD(F30, 10), 26)+1</f>
        <v>6</v>
      </c>
      <c r="H30" s="4" t="str">
        <f t="shared" si="4"/>
        <v>F</v>
      </c>
    </row>
    <row r="32" spans="1:8" x14ac:dyDescent="0.4">
      <c r="A32" t="s">
        <v>26</v>
      </c>
    </row>
    <row r="33" spans="1:8" x14ac:dyDescent="0.4">
      <c r="A33" s="6" t="s">
        <v>8</v>
      </c>
      <c r="B33" s="4" t="s">
        <v>4</v>
      </c>
      <c r="E33" s="2" t="s">
        <v>21</v>
      </c>
      <c r="F33" s="2" t="s">
        <v>9</v>
      </c>
      <c r="H33" s="4" t="s">
        <v>5</v>
      </c>
    </row>
    <row r="34" spans="1:8" x14ac:dyDescent="0.4">
      <c r="A34" s="5">
        <v>28126.021527777779</v>
      </c>
      <c r="B34" s="4" t="s">
        <v>27</v>
      </c>
      <c r="E34">
        <v>11111</v>
      </c>
      <c r="F34" s="3">
        <f>60*HOUR(A34)+MINUTE(A34)</f>
        <v>31</v>
      </c>
      <c r="H34" s="4" t="str">
        <f>_xlfn.CONCAT(H36:H40)</f>
        <v>IOPOS</v>
      </c>
    </row>
    <row r="35" spans="1:8" x14ac:dyDescent="0.4">
      <c r="A35" s="2" t="s">
        <v>0</v>
      </c>
      <c r="B35" s="1" t="s">
        <v>20</v>
      </c>
      <c r="C35" s="2" t="s">
        <v>1</v>
      </c>
      <c r="D35" s="2" t="s">
        <v>22</v>
      </c>
      <c r="E35" s="2" t="s">
        <v>7</v>
      </c>
      <c r="F35" s="2" t="s">
        <v>2</v>
      </c>
      <c r="G35" s="2" t="s">
        <v>3</v>
      </c>
      <c r="H35" s="1" t="s">
        <v>20</v>
      </c>
    </row>
    <row r="36" spans="1:8" x14ac:dyDescent="0.4">
      <c r="A36">
        <v>1</v>
      </c>
      <c r="B36" s="1" t="str">
        <f>UPPER(MID(B34, A36, 1))</f>
        <v>W</v>
      </c>
      <c r="C36">
        <f t="shared" ref="C36:C40" si="6">CODE(UPPER(B36)) - CODE("A") + 1</f>
        <v>23</v>
      </c>
      <c r="D36">
        <f>ABS(C36-C37)</f>
        <v>8</v>
      </c>
      <c r="E36">
        <f>E34</f>
        <v>11111</v>
      </c>
      <c r="F36">
        <f>40*FLOOR(F34/60, 1)+10*FLOOR(F34/10,1)</f>
        <v>30</v>
      </c>
      <c r="G36">
        <f>MOD(D36*MOD(E36, 10)+MOD(F36, 10), 26)+1</f>
        <v>9</v>
      </c>
      <c r="H36" s="4" t="str">
        <f>CHAR(64+G36)</f>
        <v>I</v>
      </c>
    </row>
    <row r="37" spans="1:8" x14ac:dyDescent="0.4">
      <c r="A37">
        <v>2</v>
      </c>
      <c r="B37" s="1" t="str">
        <f>UPPER(MID(B34, A37, 1))</f>
        <v>O</v>
      </c>
      <c r="C37">
        <f t="shared" si="6"/>
        <v>15</v>
      </c>
      <c r="D37">
        <f>ABS(C37-C38)</f>
        <v>11</v>
      </c>
      <c r="E37">
        <f>FLOOR(E36/10, 1)</f>
        <v>1111</v>
      </c>
      <c r="F37">
        <f>FLOOR(F36/10, 1)</f>
        <v>3</v>
      </c>
      <c r="G37">
        <f>MOD(D37*MOD(E37, 10)+MOD(F37, 10), 26)+1</f>
        <v>15</v>
      </c>
      <c r="H37" s="4" t="str">
        <f t="shared" ref="H37:H40" si="7">CHAR(64+G37)</f>
        <v>O</v>
      </c>
    </row>
    <row r="38" spans="1:8" x14ac:dyDescent="0.4">
      <c r="A38">
        <v>3</v>
      </c>
      <c r="B38" s="1" t="str">
        <f>UPPER(MID(B34, A38, 1))</f>
        <v>D</v>
      </c>
      <c r="C38">
        <f t="shared" si="6"/>
        <v>4</v>
      </c>
      <c r="D38">
        <f>ABS(C38-C39)</f>
        <v>15</v>
      </c>
      <c r="E38">
        <f>FLOOR(E37/10, 1)</f>
        <v>111</v>
      </c>
      <c r="F38">
        <f t="shared" ref="F38:F40" si="8">FLOOR(F37/10, 1)</f>
        <v>0</v>
      </c>
      <c r="G38">
        <f>MOD(D38*MOD(E38, 10)+MOD(F38, 10), 26)+1</f>
        <v>16</v>
      </c>
      <c r="H38" s="4" t="str">
        <f t="shared" si="7"/>
        <v>P</v>
      </c>
    </row>
    <row r="39" spans="1:8" x14ac:dyDescent="0.4">
      <c r="A39">
        <v>4</v>
      </c>
      <c r="B39" s="1" t="str">
        <f>UPPER(MID(B34, A39, 1))</f>
        <v>S</v>
      </c>
      <c r="C39">
        <f t="shared" si="6"/>
        <v>19</v>
      </c>
      <c r="D39">
        <f>ABS(C39-C40)</f>
        <v>14</v>
      </c>
      <c r="E39">
        <f>FLOOR(E38/10, 1)</f>
        <v>11</v>
      </c>
      <c r="F39">
        <f t="shared" si="8"/>
        <v>0</v>
      </c>
      <c r="G39">
        <f>MOD(D39*MOD(E39, 10)+MOD(F39, 10), 26)+1</f>
        <v>15</v>
      </c>
      <c r="H39" s="4" t="str">
        <f t="shared" si="7"/>
        <v>O</v>
      </c>
    </row>
    <row r="40" spans="1:8" x14ac:dyDescent="0.4">
      <c r="A40">
        <v>5</v>
      </c>
      <c r="B40" s="1" t="str">
        <f>UPPER(MID(B34, A40, 1))</f>
        <v>E</v>
      </c>
      <c r="C40">
        <f t="shared" si="6"/>
        <v>5</v>
      </c>
      <c r="D40">
        <f>ABS(C40-C36)</f>
        <v>18</v>
      </c>
      <c r="E40">
        <f>FLOOR(E39/10, 1)</f>
        <v>1</v>
      </c>
      <c r="F40">
        <f t="shared" si="8"/>
        <v>0</v>
      </c>
      <c r="G40">
        <f>MOD(D40*MOD(E40, 10)+MOD(F40, 10), 26)+1</f>
        <v>19</v>
      </c>
      <c r="H40" s="4" t="str">
        <f t="shared" si="7"/>
        <v>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McCarthy</dc:creator>
  <cp:lastModifiedBy>Adrian McCarthy</cp:lastModifiedBy>
  <dcterms:created xsi:type="dcterms:W3CDTF">2025-05-19T18:42:47Z</dcterms:created>
  <dcterms:modified xsi:type="dcterms:W3CDTF">2026-01-18T19:06:52Z</dcterms:modified>
</cp:coreProperties>
</file>